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jj\Documents\my-trading-work\"/>
    </mc:Choice>
  </mc:AlternateContent>
  <xr:revisionPtr revIDLastSave="0" documentId="8_{723E5013-463B-4AE2-BD7B-A1802274D6A2}" xr6:coauthVersionLast="47" xr6:coauthVersionMax="47" xr10:uidLastSave="{00000000-0000-0000-0000-000000000000}"/>
  <bookViews>
    <workbookView xWindow="-110" yWindow="-110" windowWidth="514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3" i="1" l="1"/>
  <c r="I163" i="1"/>
</calcChain>
</file>

<file path=xl/sharedStrings.xml><?xml version="1.0" encoding="utf-8"?>
<sst xmlns="http://schemas.openxmlformats.org/spreadsheetml/2006/main" count="458" uniqueCount="206">
  <si>
    <t>Strategy Tester Report</t>
  </si>
  <si>
    <t>FTMO-Demo (Build 5370)</t>
  </si>
  <si>
    <t>Settings</t>
  </si>
  <si>
    <t>Expert:</t>
  </si>
  <si>
    <t>Adaptive_Bitcoin_ML_Enhanced</t>
  </si>
  <si>
    <t>Symbol:</t>
  </si>
  <si>
    <t>BTCUSD</t>
  </si>
  <si>
    <t>Period:</t>
  </si>
  <si>
    <t>M10 (2025.01.01 - 2025.04.01)</t>
  </si>
  <si>
    <t>Inputs:</t>
  </si>
  <si>
    <t>General_Settings=--- General Settings ---</t>
  </si>
  <si>
    <t>EnableTrading=true</t>
  </si>
  <si>
    <t>TradingSymbol=</t>
  </si>
  <si>
    <t>AccountEquity=0.0</t>
  </si>
  <si>
    <t>MagicNumber=12345</t>
  </si>
  <si>
    <t>Timeframe_Settings=--- Timeframe Settings ---</t>
  </si>
  <si>
    <t>PrimaryTimeframe=10</t>
  </si>
  <si>
    <t>TrendTimeframe=16385</t>
  </si>
  <si>
    <t>Risk_Settings=--- Risk Management Settings ---</t>
  </si>
  <si>
    <t>RiskPercent=0.5</t>
  </si>
  <si>
    <t>MaxDailyLossPercent=2.0</t>
  </si>
  <si>
    <t>MaxOpenPositions=1</t>
  </si>
  <si>
    <t>UseFixedLotSize=true</t>
  </si>
  <si>
    <t>FixedLotSize=0.01</t>
  </si>
  <si>
    <t>MaxRetryAttempts=5</t>
  </si>
  <si>
    <t>RetryDelayMilliseconds=1000</t>
  </si>
  <si>
    <t>Entry_Settings=--- Entry Settings ---</t>
  </si>
  <si>
    <t>UseCandlestickPatterns=true</t>
  </si>
  <si>
    <t>UseIndicatorSignals=true</t>
  </si>
  <si>
    <t>PatternStrengthThreshold=60</t>
  </si>
  <si>
    <t>Exit_Settings=--- Exit Settings ---</t>
  </si>
  <si>
    <t>ATR_Multiplier_TP=3.0</t>
  </si>
  <si>
    <t>ATR_Multiplier_SL=2.0</t>
  </si>
  <si>
    <t>UseTrailingStop=false</t>
  </si>
  <si>
    <t>TrailingStopActivation=1.5</t>
  </si>
  <si>
    <t>UsePartialClose=false</t>
  </si>
  <si>
    <t>PartialClosePercent=50.0</t>
  </si>
  <si>
    <t>RSI_Settings=--- RSI Settings ---</t>
  </si>
  <si>
    <t>RSI_Period=14</t>
  </si>
  <si>
    <t>RSI_UpperLevel=70.0</t>
  </si>
  <si>
    <t>RSI_LowerLevel=30.0</t>
  </si>
  <si>
    <t>RSI_MiddleLevel=50.0</t>
  </si>
  <si>
    <t>Stoch_Settings=--- Stochastic Settings ---</t>
  </si>
  <si>
    <t>Stoch_K_Period=5</t>
  </si>
  <si>
    <t>Stoch_D_Period=3</t>
  </si>
  <si>
    <t>Stoch_Slowing=3</t>
  </si>
  <si>
    <t>Stoch_UpperLevel=80.0</t>
  </si>
  <si>
    <t>Stoch_LowerLevel=20.0</t>
  </si>
  <si>
    <t>CCI_Settings=--- CCI Settings ---</t>
  </si>
  <si>
    <t>CCI_Period=14</t>
  </si>
  <si>
    <t>CCI_UpperLevel=100.0</t>
  </si>
  <si>
    <t>CCI_LowerLevel=-100.0</t>
  </si>
  <si>
    <t>MFI_Settings=--- MFI Settings ---</t>
  </si>
  <si>
    <t>MFI_Period=14</t>
  </si>
  <si>
    <t>MFI_UpperLevel=80.0</t>
  </si>
  <si>
    <t>MFI_LowerLevel=20.0</t>
  </si>
  <si>
    <t>MA_Settings=--- Moving Average Settings ---</t>
  </si>
  <si>
    <t>Fast_EMA_Period=12</t>
  </si>
  <si>
    <t>Slow_EMA_Period=26</t>
  </si>
  <si>
    <t>ATR_Settings=--- ATR Settings ---</t>
  </si>
  <si>
    <t>ATR_Period=14</t>
  </si>
  <si>
    <t>ML_Settings=--- ML Trend Detection Settings ---</t>
  </si>
  <si>
    <t>UseMLTrendDetection=true</t>
  </si>
  <si>
    <t>MLModelName=BTCUSD.PERIOD_D1.cluster-centroids.onnx</t>
  </si>
  <si>
    <t>MLConfidenceThreshold=0.6</t>
  </si>
  <si>
    <t>MLTimeframe=16408</t>
  </si>
  <si>
    <t>Validation_Settings=--- Market Validation Settings ---</t>
  </si>
  <si>
    <t>IsMarketValidation=false</t>
  </si>
  <si>
    <t>MinimumStopDistance=15.0</t>
  </si>
  <si>
    <t>Company:</t>
  </si>
  <si>
    <t>FTMO Global Markets Ltd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</si>
  <si>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</si>
  <si>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</si>
  <si>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</si>
  <si>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</si>
  <si>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</si>
  <si>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</si>
  <si>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</si>
  <si>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</si>
  <si>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</si>
  <si>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</si>
  <si>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</si>
  <si>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</si>
  <si>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</si>
  <si>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</si>
  <si>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</si>
  <si>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</si>
  <si>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75.46 (0.08%)</t>
  </si>
  <si>
    <t>Equity Drawdown Maximal:</t>
  </si>
  <si>
    <t>84.64 (0.08%)</t>
  </si>
  <si>
    <t>Gross Loss:</t>
  </si>
  <si>
    <t>Balance Drawdown Relative:</t>
  </si>
  <si>
    <t>0.08% (75.46)</t>
  </si>
  <si>
    <t>Equity Drawdown Relative:</t>
  </si>
  <si>
    <t>0.08% (84.64)</t>
  </si>
  <si>
    <t>Profit Factor:</t>
  </si>
  <si>
    <t>Expected Payoff:</t>
  </si>
  <si>
    <t>Margin Level:</t>
  </si>
  <si>
    <t>32706.17%</t>
  </si>
  <si>
    <t>Recovery Factor:</t>
  </si>
  <si>
    <t>Sharpe Ratio:</t>
  </si>
  <si>
    <t>Z-Score:</t>
  </si>
  <si>
    <t>0.94 (65.28%)</t>
  </si>
  <si>
    <t>AHPR:</t>
  </si>
  <si>
    <t>1.0000 (-0.00%)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</si>
  <si>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</si>
  <si>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</si>
  <si>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</si>
  <si>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</si>
  <si>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</si>
  <si>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</si>
  <si>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</si>
  <si>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</si>
  <si>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</si>
  <si>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0:05:58</t>
  </si>
  <si>
    <t>Maximal position holding time:</t>
  </si>
  <si>
    <t>21:07:36</t>
  </si>
  <si>
    <t>Average position holding time:</t>
  </si>
  <si>
    <t>5:31:02</t>
  </si>
  <si>
    <t>Total Trades:</t>
  </si>
  <si>
    <t>Short Trades (won %):</t>
  </si>
  <si>
    <t>6 (0.00%)</t>
  </si>
  <si>
    <t>Long Trades (won %):</t>
  </si>
  <si>
    <t>5 (60.00%)</t>
  </si>
  <si>
    <t>Total Deals:</t>
  </si>
  <si>
    <t>Profit Trades (% of total):</t>
  </si>
  <si>
    <t>3 (27.27%)</t>
  </si>
  <si>
    <t>Loss Trades (% of total):</t>
  </si>
  <si>
    <t>8 (72.73%)</t>
  </si>
  <si>
    <t>Largest profit trade:</t>
  </si>
  <si>
    <t>Largest loss trade:</t>
  </si>
  <si>
    <t>Average profit trade:</t>
  </si>
  <si>
    <t>Average loss trade:</t>
  </si>
  <si>
    <t>Maximum consecutive wins ($):</t>
  </si>
  <si>
    <t>1 (22.16)</t>
  </si>
  <si>
    <t>Maximum consecutive losses ($):</t>
  </si>
  <si>
    <t>6 (-73.33)</t>
  </si>
  <si>
    <t>Maximal consecutive profit (count):</t>
  </si>
  <si>
    <t>22.16 (1)</t>
  </si>
  <si>
    <t>Maximal consecutive loss (count):</t>
  </si>
  <si>
    <t>-73.33 (6)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</si>
  <si>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</si>
  <si>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</si>
  <si>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</si>
  <si>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</si>
  <si>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</si>
  <si>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</si>
  <si>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</si>
  <si>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</si>
  <si>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</si>
  <si>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</si>
  <si>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</si>
  <si>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</si>
  <si>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</si>
  <si>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</si>
  <si>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2025.01.27 15:24:10</t>
  </si>
  <si>
    <t>sell</t>
  </si>
  <si>
    <t>0.01 / 0.01</t>
  </si>
  <si>
    <t>filled</t>
  </si>
  <si>
    <t>Adaptive_Bitcoin_ML_Enhanced_SE</t>
  </si>
  <si>
    <t>2025.01.27 16:50:39</t>
  </si>
  <si>
    <t>buy</t>
  </si>
  <si>
    <t>sl 101894.04</t>
  </si>
  <si>
    <t>2025.01.27 23:22:37</t>
  </si>
  <si>
    <t>2025.01.28 06:24:33</t>
  </si>
  <si>
    <t>sl 102873.48</t>
  </si>
  <si>
    <t>2025.02.03 17:52:19</t>
  </si>
  <si>
    <t>2025.02.03 21:21:40</t>
  </si>
  <si>
    <t>sl 100796.82</t>
  </si>
  <si>
    <t>2025.02.04 07:10:26</t>
  </si>
  <si>
    <t>Adaptive_Bitcoin_ML_Enhanced_BU</t>
  </si>
  <si>
    <t>2025.02.04 07:16:24</t>
  </si>
  <si>
    <t>sl 98834.29</t>
  </si>
  <si>
    <t>2025.03.03 20:50:34</t>
  </si>
  <si>
    <t>2025.03.03 21:54:32</t>
  </si>
  <si>
    <t>sl 85938.67</t>
  </si>
  <si>
    <t>2025.03.04 21:27:48</t>
  </si>
  <si>
    <t>2025.03.05 12:26:45</t>
  </si>
  <si>
    <t>sl 89349.04</t>
  </si>
  <si>
    <t>2025.03.11 17:50:19</t>
  </si>
  <si>
    <t>2025.03.11 18:56:16</t>
  </si>
  <si>
    <t>tp 81625.82</t>
  </si>
  <si>
    <t>2025.03.14 12:31:17</t>
  </si>
  <si>
    <t>2025.03.14 13:46:54</t>
  </si>
  <si>
    <t>sl 83200.76</t>
  </si>
  <si>
    <t>2025.03.16 05:20:03</t>
  </si>
  <si>
    <t>2025.03.16 06:51:18</t>
  </si>
  <si>
    <t>tp 84184.33</t>
  </si>
  <si>
    <t>2025.03.19 04:01:38</t>
  </si>
  <si>
    <t>2025.03.19 11:36:00</t>
  </si>
  <si>
    <t>sl 83415.48</t>
  </si>
  <si>
    <t>2025.03.20 19:50:47</t>
  </si>
  <si>
    <t>2025.03.23 16:58:23</t>
  </si>
  <si>
    <t>tp 85031.31</t>
  </si>
  <si>
    <t>Deals</t>
  </si>
  <si>
    <t>Deal</t>
  </si>
  <si>
    <t>Direction</t>
  </si>
  <si>
    <t>Commission</t>
  </si>
  <si>
    <t>Swap</t>
  </si>
  <si>
    <t>Profit</t>
  </si>
  <si>
    <t>Balance</t>
  </si>
  <si>
    <t>2025.01.01 00:00:00</t>
  </si>
  <si>
    <t>balance</t>
  </si>
  <si>
    <t>in</t>
  </si>
  <si>
    <t>0.01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</si>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</sst>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Sheet1!$A$140:$A$162</c:f>
              <c:strCache>
                <c:ptCount val="23"/>
                <c:pt idx="0">
                  <c:v>2025.01.01 00:00:00</c:v>
                </c:pt>
                <c:pt idx="1">
                  <c:v>2025.01.27 15:24:10</c:v>
                </c:pt>
                <c:pt idx="2">
                  <c:v>2025.01.27 16:50:39</c:v>
                </c:pt>
                <c:pt idx="3">
                  <c:v>2025.01.27 23:22:37</c:v>
                </c:pt>
                <c:pt idx="4">
                  <c:v>2025.01.28 06:24:33</c:v>
                </c:pt>
                <c:pt idx="5">
                  <c:v>2025.02.03 17:52:19</c:v>
                </c:pt>
                <c:pt idx="6">
                  <c:v>2025.02.03 21:21:40</c:v>
                </c:pt>
                <c:pt idx="7">
                  <c:v>2025.02.04 07:10:26</c:v>
                </c:pt>
                <c:pt idx="8">
                  <c:v>2025.02.04 07:16:24</c:v>
                </c:pt>
                <c:pt idx="9">
                  <c:v>2025.03.03 20:50:34</c:v>
                </c:pt>
                <c:pt idx="10">
                  <c:v>2025.03.03 21:54:32</c:v>
                </c:pt>
                <c:pt idx="11">
                  <c:v>2025.03.04 21:27:48</c:v>
                </c:pt>
                <c:pt idx="12">
                  <c:v>2025.03.05 12:26:45</c:v>
                </c:pt>
                <c:pt idx="13">
                  <c:v>2025.03.11 17:50:19</c:v>
                </c:pt>
                <c:pt idx="14">
                  <c:v>2025.03.11 18:56:16</c:v>
                </c:pt>
                <c:pt idx="15">
                  <c:v>2025.03.14 12:31:17</c:v>
                </c:pt>
                <c:pt idx="16">
                  <c:v>2025.03.14 13:46:54</c:v>
                </c:pt>
                <c:pt idx="17">
                  <c:v>2025.03.16 05:20:03</c:v>
                </c:pt>
                <c:pt idx="18">
                  <c:v>2025.03.16 06:51:18</c:v>
                </c:pt>
                <c:pt idx="19">
                  <c:v>2025.03.19 04:01:38</c:v>
                </c:pt>
                <c:pt idx="20">
                  <c:v>2025.03.19 11:36:00</c:v>
                </c:pt>
                <c:pt idx="21">
                  <c:v>2025.03.20 19:50:47</c:v>
                </c:pt>
                <c:pt idx="22">
                  <c:v>2025.03.23 16:58:23</c:v>
                </c:pt>
              </c:strCache>
            </c:strRef>
          </c:cat>
          <c:val>
            <c:numRef>
              <c:f>Sheet1!$L$140:$L$162</c:f>
              <c:numCache>
                <c:formatCode>#\ ##0.00;\-#\ ##0.00;0.00;</c:formatCode>
                <c:ptCount val="23"/>
                <c:pt idx="0">
                  <c:v>100000</c:v>
                </c:pt>
                <c:pt idx="1">
                  <c:v>99999.67</c:v>
                </c:pt>
                <c:pt idx="2">
                  <c:v>99989.4</c:v>
                </c:pt>
                <c:pt idx="3">
                  <c:v>99989.07</c:v>
                </c:pt>
                <c:pt idx="4">
                  <c:v>99978.93</c:v>
                </c:pt>
                <c:pt idx="5">
                  <c:v>99978.61</c:v>
                </c:pt>
                <c:pt idx="6">
                  <c:v>99961.13</c:v>
                </c:pt>
                <c:pt idx="7">
                  <c:v>99960.81</c:v>
                </c:pt>
                <c:pt idx="8">
                  <c:v>99955.16</c:v>
                </c:pt>
                <c:pt idx="9">
                  <c:v>99954.880000000005</c:v>
                </c:pt>
                <c:pt idx="10">
                  <c:v>99940.17</c:v>
                </c:pt>
                <c:pt idx="11">
                  <c:v>99939.88</c:v>
                </c:pt>
                <c:pt idx="12">
                  <c:v>99924.800000000003</c:v>
                </c:pt>
                <c:pt idx="13">
                  <c:v>99924.54</c:v>
                </c:pt>
                <c:pt idx="14">
                  <c:v>99946.7</c:v>
                </c:pt>
                <c:pt idx="15">
                  <c:v>99946.43</c:v>
                </c:pt>
                <c:pt idx="16">
                  <c:v>99942.15</c:v>
                </c:pt>
                <c:pt idx="17">
                  <c:v>99941.88</c:v>
                </c:pt>
                <c:pt idx="18">
                  <c:v>99945.15</c:v>
                </c:pt>
                <c:pt idx="19">
                  <c:v>99944.88</c:v>
                </c:pt>
                <c:pt idx="20">
                  <c:v>99940.71</c:v>
                </c:pt>
                <c:pt idx="21">
                  <c:v>99940.44</c:v>
                </c:pt>
                <c:pt idx="22">
                  <c:v>99953.02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B-44A7-A236-4574B788A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0000"/>
          <c:min val="8993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92</xdr:row>
      <xdr:rowOff>0</xdr:rowOff>
    </xdr:from>
    <xdr:to>
      <xdr:col>13</xdr:col>
      <xdr:colOff>0</xdr:colOff>
      <xdr:row>112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workbookViewId="0">
      <selection activeCell="D4" sqref="D4:N4"/>
    </sheetView>
  </sheetViews>
  <sheetFormatPr defaultRowHeight="15" customHeight="1" x14ac:dyDescent="0.3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5" customHeight="1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3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3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3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3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3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3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3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3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3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3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3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3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3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3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3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3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3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3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3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3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3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3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3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3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3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3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3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3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3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3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3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3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3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3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3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3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3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3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3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3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3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3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3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3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3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3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3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3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3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3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3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3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3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3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3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3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3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3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3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3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3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3">
      <c r="A66" s="12" t="s">
        <v>69</v>
      </c>
      <c r="B66" s="12"/>
      <c r="C66" s="12"/>
      <c r="D66" s="13" t="s">
        <v>70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3">
      <c r="A67" s="12" t="s">
        <v>71</v>
      </c>
      <c r="B67" s="12"/>
      <c r="C67" s="12"/>
      <c r="D67" s="13" t="s">
        <v>72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3">
      <c r="A68" s="12" t="s">
        <v>73</v>
      </c>
      <c r="B68" s="12"/>
      <c r="C68" s="12"/>
      <c r="D68" s="14">
        <v>100000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 ht="15" customHeight="1" x14ac:dyDescent="0.3">
      <c r="A69" s="12" t="s">
        <v>74</v>
      </c>
      <c r="B69" s="12"/>
      <c r="C69" s="12"/>
      <c r="D69" s="13" t="s">
        <v>75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25" customHeight="1" x14ac:dyDescent="0.3">
      <c r="A70" s="11" t="s">
        <v>76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5" customHeight="1" x14ac:dyDescent="0.3">
      <c r="A71" s="12" t="s">
        <v>77</v>
      </c>
      <c r="B71" s="12"/>
      <c r="C71" s="12"/>
      <c r="D71" s="15" t="s">
        <v>78</v>
      </c>
    </row>
    <row r="72" spans="1:14" ht="15" customHeight="1" x14ac:dyDescent="0.3">
      <c r="A72" s="12" t="s">
        <v>79</v>
      </c>
      <c r="B72" s="12"/>
      <c r="C72" s="12"/>
      <c r="D72" s="16">
        <v>12528</v>
      </c>
      <c r="E72" s="12" t="s">
        <v>80</v>
      </c>
      <c r="F72" s="12"/>
      <c r="G72" s="12"/>
      <c r="H72" s="16">
        <v>6541795</v>
      </c>
      <c r="I72" s="12" t="s">
        <v>81</v>
      </c>
      <c r="J72" s="12"/>
      <c r="K72" s="12"/>
      <c r="L72" s="16">
        <v>1</v>
      </c>
      <c r="M72" s="16"/>
      <c r="N72" s="16"/>
    </row>
    <row r="73" spans="1:14" ht="15" customHeight="1" x14ac:dyDescent="0.3">
      <c r="A73" s="12" t="s">
        <v>82</v>
      </c>
      <c r="B73" s="12"/>
      <c r="C73" s="12"/>
      <c r="D73" s="17">
        <v>-46.98</v>
      </c>
      <c r="E73" s="12" t="s">
        <v>83</v>
      </c>
      <c r="F73" s="12"/>
      <c r="G73" s="12"/>
      <c r="H73" s="17">
        <v>75.459999999999994</v>
      </c>
      <c r="I73" s="12" t="s">
        <v>84</v>
      </c>
      <c r="J73" s="12"/>
      <c r="K73" s="12"/>
      <c r="L73" s="17">
        <v>75.78</v>
      </c>
      <c r="M73" s="17"/>
      <c r="N73" s="17"/>
    </row>
    <row r="74" spans="1:14" ht="15" customHeight="1" x14ac:dyDescent="0.3">
      <c r="A74" s="12" t="s">
        <v>85</v>
      </c>
      <c r="B74" s="12"/>
      <c r="C74" s="12"/>
      <c r="D74" s="17">
        <v>38.01</v>
      </c>
      <c r="E74" s="12" t="s">
        <v>86</v>
      </c>
      <c r="F74" s="12"/>
      <c r="G74" s="12"/>
      <c r="H74" s="15" t="s">
        <v>87</v>
      </c>
      <c r="I74" s="12" t="s">
        <v>88</v>
      </c>
      <c r="J74" s="12"/>
      <c r="K74" s="12"/>
      <c r="L74" s="15" t="s">
        <v>89</v>
      </c>
      <c r="M74" s="15"/>
      <c r="N74" s="15"/>
    </row>
    <row r="75" spans="1:14" ht="15" customHeight="1" x14ac:dyDescent="0.3">
      <c r="A75" s="12" t="s">
        <v>90</v>
      </c>
      <c r="B75" s="12"/>
      <c r="C75" s="12"/>
      <c r="D75" s="17">
        <v>-84.99</v>
      </c>
      <c r="E75" s="12" t="s">
        <v>91</v>
      </c>
      <c r="F75" s="12"/>
      <c r="G75" s="12"/>
      <c r="H75" s="15" t="s">
        <v>92</v>
      </c>
      <c r="I75" s="12" t="s">
        <v>93</v>
      </c>
      <c r="J75" s="12"/>
      <c r="K75" s="12"/>
      <c r="L75" s="15" t="s">
        <v>94</v>
      </c>
      <c r="M75" s="15"/>
      <c r="N75" s="15"/>
    </row>
    <row r="77" spans="1:14" ht="15" customHeight="1" x14ac:dyDescent="0.3">
      <c r="A77" s="12" t="s">
        <v>95</v>
      </c>
      <c r="B77" s="12"/>
      <c r="C77" s="12"/>
      <c r="D77" s="17">
        <v>0.44722899999999999</v>
      </c>
      <c r="E77" s="12" t="s">
        <v>96</v>
      </c>
      <c r="F77" s="12"/>
      <c r="G77" s="12"/>
      <c r="H77" s="17">
        <v>-4.2709089999999996</v>
      </c>
      <c r="I77" s="12" t="s">
        <v>97</v>
      </c>
      <c r="J77" s="12"/>
      <c r="K77" s="12"/>
      <c r="L77" s="15" t="s">
        <v>98</v>
      </c>
      <c r="M77" s="15"/>
      <c r="N77" s="15"/>
    </row>
    <row r="78" spans="1:14" ht="15" customHeight="1" x14ac:dyDescent="0.3">
      <c r="A78" s="12" t="s">
        <v>99</v>
      </c>
      <c r="B78" s="12"/>
      <c r="C78" s="12"/>
      <c r="D78" s="17">
        <v>-0.55505700000000002</v>
      </c>
      <c r="E78" s="12" t="s">
        <v>100</v>
      </c>
      <c r="F78" s="12"/>
      <c r="G78" s="12"/>
      <c r="H78" s="17">
        <v>-1.671702</v>
      </c>
      <c r="I78" s="12" t="s">
        <v>101</v>
      </c>
      <c r="J78" s="12"/>
      <c r="K78" s="12"/>
      <c r="L78" s="15" t="s">
        <v>102</v>
      </c>
      <c r="M78" s="15"/>
      <c r="N78" s="15"/>
    </row>
    <row r="79" spans="1:14" ht="15" customHeight="1" x14ac:dyDescent="0.3">
      <c r="A79" s="12" t="s">
        <v>103</v>
      </c>
      <c r="B79" s="12"/>
      <c r="C79" s="12"/>
      <c r="D79" s="15" t="s">
        <v>104</v>
      </c>
      <c r="E79" s="12" t="s">
        <v>105</v>
      </c>
      <c r="F79" s="12"/>
      <c r="G79" s="12"/>
      <c r="H79" s="17">
        <v>-0.72746599999999995</v>
      </c>
      <c r="I79" s="12" t="s">
        <v>106</v>
      </c>
      <c r="J79" s="12"/>
      <c r="K79" s="12"/>
      <c r="L79" s="15" t="s">
        <v>107</v>
      </c>
      <c r="M79" s="15"/>
      <c r="N79" s="15"/>
    </row>
    <row r="80" spans="1:14" ht="15" customHeight="1" x14ac:dyDescent="0.3">
      <c r="A80" s="12" t="s">
        <v>108</v>
      </c>
      <c r="B80" s="12"/>
      <c r="C80" s="12"/>
      <c r="D80" s="15" t="s">
        <v>104</v>
      </c>
      <c r="E80" s="12" t="s">
        <v>109</v>
      </c>
      <c r="F80" s="12"/>
      <c r="G80" s="12"/>
      <c r="H80" s="17">
        <v>15.445796</v>
      </c>
    </row>
    <row r="82" spans="1:14" ht="15" customHeight="1" x14ac:dyDescent="0.3">
      <c r="A82" s="12" t="s">
        <v>110</v>
      </c>
      <c r="B82" s="12"/>
      <c r="C82" s="12"/>
      <c r="D82" s="17">
        <v>0.44049899999999997</v>
      </c>
      <c r="E82" s="12" t="s">
        <v>111</v>
      </c>
      <c r="F82" s="12"/>
      <c r="G82" s="12"/>
      <c r="H82" s="17">
        <v>0.79970399999999997</v>
      </c>
      <c r="I82" s="12" t="s">
        <v>112</v>
      </c>
      <c r="J82" s="12"/>
      <c r="K82" s="12"/>
      <c r="L82" s="17">
        <v>-4.3518000000000001E-2</v>
      </c>
      <c r="M82" s="17"/>
      <c r="N82" s="17"/>
    </row>
    <row r="83" spans="1:14" ht="15" customHeight="1" x14ac:dyDescent="0.3">
      <c r="A83" s="12" t="s">
        <v>113</v>
      </c>
      <c r="B83" s="12"/>
      <c r="C83" s="12"/>
      <c r="D83" s="15" t="s">
        <v>114</v>
      </c>
      <c r="E83" s="12" t="s">
        <v>115</v>
      </c>
      <c r="F83" s="12"/>
      <c r="G83" s="12"/>
      <c r="H83" s="15" t="s">
        <v>116</v>
      </c>
      <c r="I83" s="12" t="s">
        <v>117</v>
      </c>
      <c r="J83" s="12"/>
      <c r="K83" s="12"/>
      <c r="L83" s="15" t="s">
        <v>118</v>
      </c>
      <c r="M83" s="15"/>
      <c r="N83" s="15"/>
    </row>
    <row r="85" spans="1:14" ht="15" customHeight="1" x14ac:dyDescent="0.3">
      <c r="A85" s="12" t="s">
        <v>119</v>
      </c>
      <c r="B85" s="12"/>
      <c r="C85" s="12"/>
      <c r="D85" s="16">
        <v>11</v>
      </c>
      <c r="E85" s="12" t="s">
        <v>120</v>
      </c>
      <c r="F85" s="12"/>
      <c r="G85" s="12"/>
      <c r="H85" s="15" t="s">
        <v>121</v>
      </c>
      <c r="I85" s="12" t="s">
        <v>122</v>
      </c>
      <c r="J85" s="12"/>
      <c r="K85" s="12"/>
      <c r="L85" s="15" t="s">
        <v>123</v>
      </c>
      <c r="M85" s="15"/>
      <c r="N85" s="15"/>
    </row>
    <row r="86" spans="1:14" ht="15" customHeight="1" x14ac:dyDescent="0.3">
      <c r="A86" s="12" t="s">
        <v>124</v>
      </c>
      <c r="B86" s="12"/>
      <c r="C86" s="12"/>
      <c r="D86" s="16">
        <v>22</v>
      </c>
      <c r="E86" s="12" t="s">
        <v>125</v>
      </c>
      <c r="F86" s="12"/>
      <c r="G86" s="12"/>
      <c r="H86" s="15" t="s">
        <v>126</v>
      </c>
      <c r="I86" s="12" t="s">
        <v>127</v>
      </c>
      <c r="J86" s="12"/>
      <c r="K86" s="12"/>
      <c r="L86" s="15" t="s">
        <v>128</v>
      </c>
      <c r="M86" s="15"/>
      <c r="N86" s="15"/>
    </row>
    <row r="87" spans="1:14" ht="15" customHeight="1" x14ac:dyDescent="0.3">
      <c r="E87" s="12" t="s">
        <v>129</v>
      </c>
      <c r="F87" s="12"/>
      <c r="G87" s="12"/>
      <c r="H87" s="17">
        <v>22.16</v>
      </c>
      <c r="I87" s="12" t="s">
        <v>130</v>
      </c>
      <c r="J87" s="12"/>
      <c r="K87" s="12"/>
      <c r="L87" s="17">
        <v>-17.48</v>
      </c>
      <c r="M87" s="17"/>
      <c r="N87" s="17"/>
    </row>
    <row r="88" spans="1:14" ht="15" customHeight="1" x14ac:dyDescent="0.3">
      <c r="E88" s="12" t="s">
        <v>131</v>
      </c>
      <c r="F88" s="12"/>
      <c r="G88" s="12"/>
      <c r="H88" s="17">
        <v>12.67</v>
      </c>
      <c r="I88" s="12" t="s">
        <v>132</v>
      </c>
      <c r="J88" s="12"/>
      <c r="K88" s="12"/>
      <c r="L88" s="17">
        <v>-10.2225</v>
      </c>
      <c r="M88" s="17"/>
      <c r="N88" s="17"/>
    </row>
    <row r="89" spans="1:14" ht="15" customHeight="1" x14ac:dyDescent="0.3">
      <c r="E89" s="12" t="s">
        <v>133</v>
      </c>
      <c r="F89" s="12"/>
      <c r="G89" s="12"/>
      <c r="H89" s="15" t="s">
        <v>134</v>
      </c>
      <c r="I89" s="12" t="s">
        <v>135</v>
      </c>
      <c r="J89" s="12"/>
      <c r="K89" s="12"/>
      <c r="L89" s="15" t="s">
        <v>136</v>
      </c>
      <c r="M89" s="15"/>
      <c r="N89" s="15"/>
    </row>
    <row r="90" spans="1:14" ht="15" customHeight="1" x14ac:dyDescent="0.3">
      <c r="E90" s="12" t="s">
        <v>137</v>
      </c>
      <c r="F90" s="12"/>
      <c r="G90" s="12"/>
      <c r="H90" s="15" t="s">
        <v>138</v>
      </c>
      <c r="I90" s="12" t="s">
        <v>139</v>
      </c>
      <c r="J90" s="12"/>
      <c r="K90" s="12"/>
      <c r="L90" s="15" t="s">
        <v>140</v>
      </c>
      <c r="M90" s="15"/>
      <c r="N90" s="15"/>
    </row>
    <row r="91" spans="1:14" ht="15" customHeight="1" x14ac:dyDescent="0.3">
      <c r="E91" s="12" t="s">
        <v>141</v>
      </c>
      <c r="F91" s="12"/>
      <c r="G91" s="12"/>
      <c r="H91" s="16">
        <v>1</v>
      </c>
      <c r="I91" s="12" t="s">
        <v>142</v>
      </c>
      <c r="J91" s="12"/>
      <c r="K91" s="12"/>
      <c r="L91" s="16">
        <v>3</v>
      </c>
      <c r="M91" s="16"/>
      <c r="N91" s="16"/>
    </row>
    <row r="114" spans="1:14" ht="20" customHeight="1" x14ac:dyDescent="0.3">
      <c r="A114" s="11" t="s">
        <v>143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1:14" ht="20" customHeight="1" x14ac:dyDescent="0.3">
      <c r="A115" s="2" t="s">
        <v>144</v>
      </c>
      <c r="B115" s="2" t="s">
        <v>145</v>
      </c>
      <c r="C115" s="2" t="s">
        <v>146</v>
      </c>
      <c r="D115" s="2" t="s">
        <v>147</v>
      </c>
      <c r="E115" s="18" t="s">
        <v>148</v>
      </c>
      <c r="F115" s="18"/>
      <c r="G115" s="2" t="s">
        <v>149</v>
      </c>
      <c r="H115" s="2" t="s">
        <v>150</v>
      </c>
      <c r="I115" s="2" t="s">
        <v>151</v>
      </c>
      <c r="J115" s="18" t="s">
        <v>152</v>
      </c>
      <c r="K115" s="18"/>
      <c r="L115" s="2" t="s">
        <v>153</v>
      </c>
      <c r="M115" s="18" t="s">
        <v>154</v>
      </c>
      <c r="N115" s="18"/>
    </row>
    <row r="116" spans="1:14" ht="15" customHeight="1" x14ac:dyDescent="0.3">
      <c r="A116" s="3" t="s">
        <v>155</v>
      </c>
      <c r="B116" s="4">
        <v>2</v>
      </c>
      <c r="C116" s="3" t="s">
        <v>6</v>
      </c>
      <c r="D116" s="3" t="s">
        <v>156</v>
      </c>
      <c r="E116" s="19" t="s">
        <v>157</v>
      </c>
      <c r="F116" s="19"/>
      <c r="G116" s="5">
        <v>0</v>
      </c>
      <c r="H116" s="5">
        <v>101894.04</v>
      </c>
      <c r="I116" s="5">
        <v>99429.759999999995</v>
      </c>
      <c r="J116" s="19" t="s">
        <v>155</v>
      </c>
      <c r="K116" s="19"/>
      <c r="L116" s="3" t="s">
        <v>158</v>
      </c>
      <c r="M116" s="19" t="s">
        <v>159</v>
      </c>
      <c r="N116" s="19"/>
    </row>
    <row r="117" spans="1:14" ht="15" customHeight="1" x14ac:dyDescent="0.3">
      <c r="A117" s="1" t="s">
        <v>160</v>
      </c>
      <c r="B117" s="6">
        <v>3</v>
      </c>
      <c r="C117" s="1" t="s">
        <v>6</v>
      </c>
      <c r="D117" s="1" t="s">
        <v>161</v>
      </c>
      <c r="E117" s="12" t="s">
        <v>157</v>
      </c>
      <c r="F117" s="12"/>
      <c r="G117" s="7">
        <v>0</v>
      </c>
      <c r="H117" s="1"/>
      <c r="I117" s="1"/>
      <c r="J117" s="12" t="s">
        <v>160</v>
      </c>
      <c r="K117" s="12"/>
      <c r="L117" s="1" t="s">
        <v>158</v>
      </c>
      <c r="M117" s="12" t="s">
        <v>162</v>
      </c>
      <c r="N117" s="12"/>
    </row>
    <row r="118" spans="1:14" ht="15" customHeight="1" x14ac:dyDescent="0.3">
      <c r="A118" s="3" t="s">
        <v>163</v>
      </c>
      <c r="B118" s="4">
        <v>4</v>
      </c>
      <c r="C118" s="3" t="s">
        <v>6</v>
      </c>
      <c r="D118" s="3" t="s">
        <v>156</v>
      </c>
      <c r="E118" s="19" t="s">
        <v>157</v>
      </c>
      <c r="F118" s="19"/>
      <c r="G118" s="5">
        <v>0</v>
      </c>
      <c r="H118" s="5">
        <v>102873.48</v>
      </c>
      <c r="I118" s="5">
        <v>100582.39999999999</v>
      </c>
      <c r="J118" s="19" t="s">
        <v>163</v>
      </c>
      <c r="K118" s="19"/>
      <c r="L118" s="3" t="s">
        <v>158</v>
      </c>
      <c r="M118" s="19" t="s">
        <v>159</v>
      </c>
      <c r="N118" s="19"/>
    </row>
    <row r="119" spans="1:14" ht="15" customHeight="1" x14ac:dyDescent="0.3">
      <c r="A119" s="1" t="s">
        <v>164</v>
      </c>
      <c r="B119" s="6">
        <v>5</v>
      </c>
      <c r="C119" s="1" t="s">
        <v>6</v>
      </c>
      <c r="D119" s="1" t="s">
        <v>161</v>
      </c>
      <c r="E119" s="12" t="s">
        <v>157</v>
      </c>
      <c r="F119" s="12"/>
      <c r="G119" s="7">
        <v>0</v>
      </c>
      <c r="H119" s="1"/>
      <c r="I119" s="1"/>
      <c r="J119" s="12" t="s">
        <v>164</v>
      </c>
      <c r="K119" s="12"/>
      <c r="L119" s="1" t="s">
        <v>158</v>
      </c>
      <c r="M119" s="12" t="s">
        <v>165</v>
      </c>
      <c r="N119" s="12"/>
    </row>
    <row r="120" spans="1:14" ht="15" customHeight="1" x14ac:dyDescent="0.3">
      <c r="A120" s="3" t="s">
        <v>166</v>
      </c>
      <c r="B120" s="4">
        <v>6</v>
      </c>
      <c r="C120" s="3" t="s">
        <v>6</v>
      </c>
      <c r="D120" s="3" t="s">
        <v>156</v>
      </c>
      <c r="E120" s="19" t="s">
        <v>157</v>
      </c>
      <c r="F120" s="19"/>
      <c r="G120" s="5">
        <v>0</v>
      </c>
      <c r="H120" s="5">
        <v>100796.82</v>
      </c>
      <c r="I120" s="5">
        <v>96529.54</v>
      </c>
      <c r="J120" s="19" t="s">
        <v>166</v>
      </c>
      <c r="K120" s="19"/>
      <c r="L120" s="3" t="s">
        <v>158</v>
      </c>
      <c r="M120" s="19" t="s">
        <v>159</v>
      </c>
      <c r="N120" s="19"/>
    </row>
    <row r="121" spans="1:14" ht="15" customHeight="1" x14ac:dyDescent="0.3">
      <c r="A121" s="1" t="s">
        <v>167</v>
      </c>
      <c r="B121" s="6">
        <v>7</v>
      </c>
      <c r="C121" s="1" t="s">
        <v>6</v>
      </c>
      <c r="D121" s="1" t="s">
        <v>161</v>
      </c>
      <c r="E121" s="12" t="s">
        <v>157</v>
      </c>
      <c r="F121" s="12"/>
      <c r="G121" s="7">
        <v>0</v>
      </c>
      <c r="H121" s="1"/>
      <c r="I121" s="1"/>
      <c r="J121" s="12" t="s">
        <v>167</v>
      </c>
      <c r="K121" s="12"/>
      <c r="L121" s="1" t="s">
        <v>158</v>
      </c>
      <c r="M121" s="12" t="s">
        <v>168</v>
      </c>
      <c r="N121" s="12"/>
    </row>
    <row r="122" spans="1:14" ht="15" customHeight="1" x14ac:dyDescent="0.3">
      <c r="A122" s="3" t="s">
        <v>169</v>
      </c>
      <c r="B122" s="4">
        <v>8</v>
      </c>
      <c r="C122" s="3" t="s">
        <v>6</v>
      </c>
      <c r="D122" s="3" t="s">
        <v>161</v>
      </c>
      <c r="E122" s="19" t="s">
        <v>157</v>
      </c>
      <c r="F122" s="19"/>
      <c r="G122" s="5">
        <v>0</v>
      </c>
      <c r="H122" s="5">
        <v>98834.29</v>
      </c>
      <c r="I122" s="5">
        <v>100161.06</v>
      </c>
      <c r="J122" s="19" t="s">
        <v>169</v>
      </c>
      <c r="K122" s="19"/>
      <c r="L122" s="3" t="s">
        <v>158</v>
      </c>
      <c r="M122" s="19" t="s">
        <v>170</v>
      </c>
      <c r="N122" s="19"/>
    </row>
    <row r="123" spans="1:14" ht="15" customHeight="1" x14ac:dyDescent="0.3">
      <c r="A123" s="1" t="s">
        <v>171</v>
      </c>
      <c r="B123" s="6">
        <v>9</v>
      </c>
      <c r="C123" s="1" t="s">
        <v>6</v>
      </c>
      <c r="D123" s="1" t="s">
        <v>156</v>
      </c>
      <c r="E123" s="12" t="s">
        <v>157</v>
      </c>
      <c r="F123" s="12"/>
      <c r="G123" s="7">
        <v>0</v>
      </c>
      <c r="H123" s="1"/>
      <c r="I123" s="1"/>
      <c r="J123" s="12" t="s">
        <v>171</v>
      </c>
      <c r="K123" s="12"/>
      <c r="L123" s="1" t="s">
        <v>158</v>
      </c>
      <c r="M123" s="12" t="s">
        <v>172</v>
      </c>
      <c r="N123" s="12"/>
    </row>
    <row r="124" spans="1:14" ht="15" customHeight="1" x14ac:dyDescent="0.3">
      <c r="A124" s="3" t="s">
        <v>173</v>
      </c>
      <c r="B124" s="4">
        <v>10</v>
      </c>
      <c r="C124" s="3" t="s">
        <v>6</v>
      </c>
      <c r="D124" s="3" t="s">
        <v>161</v>
      </c>
      <c r="E124" s="19" t="s">
        <v>157</v>
      </c>
      <c r="F124" s="19"/>
      <c r="G124" s="5">
        <v>0</v>
      </c>
      <c r="H124" s="5">
        <v>85938.67</v>
      </c>
      <c r="I124" s="5">
        <v>89410.41</v>
      </c>
      <c r="J124" s="19" t="s">
        <v>173</v>
      </c>
      <c r="K124" s="19"/>
      <c r="L124" s="3" t="s">
        <v>158</v>
      </c>
      <c r="M124" s="19" t="s">
        <v>170</v>
      </c>
      <c r="N124" s="19"/>
    </row>
    <row r="125" spans="1:14" ht="15" customHeight="1" x14ac:dyDescent="0.3">
      <c r="A125" s="1" t="s">
        <v>174</v>
      </c>
      <c r="B125" s="6">
        <v>11</v>
      </c>
      <c r="C125" s="1" t="s">
        <v>6</v>
      </c>
      <c r="D125" s="1" t="s">
        <v>156</v>
      </c>
      <c r="E125" s="12" t="s">
        <v>157</v>
      </c>
      <c r="F125" s="12"/>
      <c r="G125" s="7">
        <v>0</v>
      </c>
      <c r="H125" s="1"/>
      <c r="I125" s="1"/>
      <c r="J125" s="12" t="s">
        <v>174</v>
      </c>
      <c r="K125" s="12"/>
      <c r="L125" s="1" t="s">
        <v>158</v>
      </c>
      <c r="M125" s="12" t="s">
        <v>175</v>
      </c>
      <c r="N125" s="12"/>
    </row>
    <row r="126" spans="1:14" ht="15" customHeight="1" x14ac:dyDescent="0.3">
      <c r="A126" s="3" t="s">
        <v>176</v>
      </c>
      <c r="B126" s="4">
        <v>12</v>
      </c>
      <c r="C126" s="3" t="s">
        <v>6</v>
      </c>
      <c r="D126" s="3" t="s">
        <v>156</v>
      </c>
      <c r="E126" s="19" t="s">
        <v>157</v>
      </c>
      <c r="F126" s="19"/>
      <c r="G126" s="5">
        <v>0</v>
      </c>
      <c r="H126" s="5">
        <v>89349.04</v>
      </c>
      <c r="I126" s="5">
        <v>85665.14</v>
      </c>
      <c r="J126" s="19" t="s">
        <v>176</v>
      </c>
      <c r="K126" s="19"/>
      <c r="L126" s="3" t="s">
        <v>158</v>
      </c>
      <c r="M126" s="19" t="s">
        <v>159</v>
      </c>
      <c r="N126" s="19"/>
    </row>
    <row r="127" spans="1:14" ht="15" customHeight="1" x14ac:dyDescent="0.3">
      <c r="A127" s="1" t="s">
        <v>177</v>
      </c>
      <c r="B127" s="6">
        <v>13</v>
      </c>
      <c r="C127" s="1" t="s">
        <v>6</v>
      </c>
      <c r="D127" s="1" t="s">
        <v>161</v>
      </c>
      <c r="E127" s="12" t="s">
        <v>157</v>
      </c>
      <c r="F127" s="12"/>
      <c r="G127" s="7">
        <v>0</v>
      </c>
      <c r="H127" s="1"/>
      <c r="I127" s="1"/>
      <c r="J127" s="12" t="s">
        <v>177</v>
      </c>
      <c r="K127" s="12"/>
      <c r="L127" s="1" t="s">
        <v>158</v>
      </c>
      <c r="M127" s="12" t="s">
        <v>178</v>
      </c>
      <c r="N127" s="12"/>
    </row>
    <row r="128" spans="1:14" ht="15" customHeight="1" x14ac:dyDescent="0.3">
      <c r="A128" s="3" t="s">
        <v>179</v>
      </c>
      <c r="B128" s="4">
        <v>14</v>
      </c>
      <c r="C128" s="3" t="s">
        <v>6</v>
      </c>
      <c r="D128" s="3" t="s">
        <v>161</v>
      </c>
      <c r="E128" s="19" t="s">
        <v>157</v>
      </c>
      <c r="F128" s="19"/>
      <c r="G128" s="5">
        <v>0</v>
      </c>
      <c r="H128" s="5">
        <v>77864.97</v>
      </c>
      <c r="I128" s="5">
        <v>81625.820000000007</v>
      </c>
      <c r="J128" s="19" t="s">
        <v>179</v>
      </c>
      <c r="K128" s="19"/>
      <c r="L128" s="3" t="s">
        <v>158</v>
      </c>
      <c r="M128" s="19" t="s">
        <v>170</v>
      </c>
      <c r="N128" s="19"/>
    </row>
    <row r="129" spans="1:14" ht="15" customHeight="1" x14ac:dyDescent="0.3">
      <c r="A129" s="1" t="s">
        <v>180</v>
      </c>
      <c r="B129" s="6">
        <v>15</v>
      </c>
      <c r="C129" s="1" t="s">
        <v>6</v>
      </c>
      <c r="D129" s="1" t="s">
        <v>156</v>
      </c>
      <c r="E129" s="12" t="s">
        <v>157</v>
      </c>
      <c r="F129" s="12"/>
      <c r="G129" s="7">
        <v>0</v>
      </c>
      <c r="H129" s="1"/>
      <c r="I129" s="1"/>
      <c r="J129" s="12" t="s">
        <v>180</v>
      </c>
      <c r="K129" s="12"/>
      <c r="L129" s="1" t="s">
        <v>158</v>
      </c>
      <c r="M129" s="12" t="s">
        <v>181</v>
      </c>
      <c r="N129" s="12"/>
    </row>
    <row r="130" spans="1:14" ht="15" customHeight="1" x14ac:dyDescent="0.3">
      <c r="A130" s="3" t="s">
        <v>182</v>
      </c>
      <c r="B130" s="4">
        <v>16</v>
      </c>
      <c r="C130" s="3" t="s">
        <v>6</v>
      </c>
      <c r="D130" s="3" t="s">
        <v>156</v>
      </c>
      <c r="E130" s="19" t="s">
        <v>157</v>
      </c>
      <c r="F130" s="19"/>
      <c r="G130" s="5">
        <v>0</v>
      </c>
      <c r="H130" s="5">
        <v>83200.759999999995</v>
      </c>
      <c r="I130" s="5">
        <v>82274.09</v>
      </c>
      <c r="J130" s="19" t="s">
        <v>182</v>
      </c>
      <c r="K130" s="19"/>
      <c r="L130" s="3" t="s">
        <v>158</v>
      </c>
      <c r="M130" s="19" t="s">
        <v>159</v>
      </c>
      <c r="N130" s="19"/>
    </row>
    <row r="131" spans="1:14" ht="15" customHeight="1" x14ac:dyDescent="0.3">
      <c r="A131" s="1" t="s">
        <v>183</v>
      </c>
      <c r="B131" s="6">
        <v>17</v>
      </c>
      <c r="C131" s="1" t="s">
        <v>6</v>
      </c>
      <c r="D131" s="1" t="s">
        <v>161</v>
      </c>
      <c r="E131" s="12" t="s">
        <v>157</v>
      </c>
      <c r="F131" s="12"/>
      <c r="G131" s="7">
        <v>0</v>
      </c>
      <c r="H131" s="1"/>
      <c r="I131" s="1"/>
      <c r="J131" s="12" t="s">
        <v>183</v>
      </c>
      <c r="K131" s="12"/>
      <c r="L131" s="1" t="s">
        <v>158</v>
      </c>
      <c r="M131" s="12" t="s">
        <v>184</v>
      </c>
      <c r="N131" s="12"/>
    </row>
    <row r="132" spans="1:14" ht="15" customHeight="1" x14ac:dyDescent="0.3">
      <c r="A132" s="3" t="s">
        <v>185</v>
      </c>
      <c r="B132" s="4">
        <v>18</v>
      </c>
      <c r="C132" s="3" t="s">
        <v>6</v>
      </c>
      <c r="D132" s="3" t="s">
        <v>161</v>
      </c>
      <c r="E132" s="19" t="s">
        <v>157</v>
      </c>
      <c r="F132" s="19"/>
      <c r="G132" s="5">
        <v>0</v>
      </c>
      <c r="H132" s="5">
        <v>83578.02</v>
      </c>
      <c r="I132" s="5">
        <v>84184.33</v>
      </c>
      <c r="J132" s="19" t="s">
        <v>185</v>
      </c>
      <c r="K132" s="19"/>
      <c r="L132" s="3" t="s">
        <v>158</v>
      </c>
      <c r="M132" s="19" t="s">
        <v>170</v>
      </c>
      <c r="N132" s="19"/>
    </row>
    <row r="133" spans="1:14" ht="15" customHeight="1" x14ac:dyDescent="0.3">
      <c r="A133" s="1" t="s">
        <v>186</v>
      </c>
      <c r="B133" s="6">
        <v>19</v>
      </c>
      <c r="C133" s="1" t="s">
        <v>6</v>
      </c>
      <c r="D133" s="1" t="s">
        <v>156</v>
      </c>
      <c r="E133" s="12" t="s">
        <v>157</v>
      </c>
      <c r="F133" s="12"/>
      <c r="G133" s="7">
        <v>0</v>
      </c>
      <c r="H133" s="1"/>
      <c r="I133" s="1"/>
      <c r="J133" s="12" t="s">
        <v>186</v>
      </c>
      <c r="K133" s="12"/>
      <c r="L133" s="1" t="s">
        <v>158</v>
      </c>
      <c r="M133" s="12" t="s">
        <v>187</v>
      </c>
      <c r="N133" s="12"/>
    </row>
    <row r="134" spans="1:14" ht="15" customHeight="1" x14ac:dyDescent="0.3">
      <c r="A134" s="3" t="s">
        <v>188</v>
      </c>
      <c r="B134" s="4">
        <v>20</v>
      </c>
      <c r="C134" s="3" t="s">
        <v>6</v>
      </c>
      <c r="D134" s="3" t="s">
        <v>156</v>
      </c>
      <c r="E134" s="19" t="s">
        <v>157</v>
      </c>
      <c r="F134" s="19"/>
      <c r="G134" s="5">
        <v>0</v>
      </c>
      <c r="H134" s="5">
        <v>83415.48</v>
      </c>
      <c r="I134" s="5">
        <v>82453.73</v>
      </c>
      <c r="J134" s="19" t="s">
        <v>188</v>
      </c>
      <c r="K134" s="19"/>
      <c r="L134" s="3" t="s">
        <v>158</v>
      </c>
      <c r="M134" s="19" t="s">
        <v>159</v>
      </c>
      <c r="N134" s="19"/>
    </row>
    <row r="135" spans="1:14" ht="15" customHeight="1" x14ac:dyDescent="0.3">
      <c r="A135" s="1" t="s">
        <v>189</v>
      </c>
      <c r="B135" s="6">
        <v>21</v>
      </c>
      <c r="C135" s="1" t="s">
        <v>6</v>
      </c>
      <c r="D135" s="1" t="s">
        <v>161</v>
      </c>
      <c r="E135" s="12" t="s">
        <v>157</v>
      </c>
      <c r="F135" s="12"/>
      <c r="G135" s="7">
        <v>0</v>
      </c>
      <c r="H135" s="1"/>
      <c r="I135" s="1"/>
      <c r="J135" s="12" t="s">
        <v>189</v>
      </c>
      <c r="K135" s="12"/>
      <c r="L135" s="1" t="s">
        <v>158</v>
      </c>
      <c r="M135" s="12" t="s">
        <v>190</v>
      </c>
      <c r="N135" s="12"/>
    </row>
    <row r="136" spans="1:14" ht="15" customHeight="1" x14ac:dyDescent="0.3">
      <c r="A136" s="3" t="s">
        <v>191</v>
      </c>
      <c r="B136" s="4">
        <v>22</v>
      </c>
      <c r="C136" s="3" t="s">
        <v>6</v>
      </c>
      <c r="D136" s="3" t="s">
        <v>161</v>
      </c>
      <c r="E136" s="19" t="s">
        <v>157</v>
      </c>
      <c r="F136" s="19"/>
      <c r="G136" s="5">
        <v>0</v>
      </c>
      <c r="H136" s="5">
        <v>82882.86</v>
      </c>
      <c r="I136" s="5">
        <v>85031.31</v>
      </c>
      <c r="J136" s="19" t="s">
        <v>191</v>
      </c>
      <c r="K136" s="19"/>
      <c r="L136" s="3" t="s">
        <v>158</v>
      </c>
      <c r="M136" s="19" t="s">
        <v>170</v>
      </c>
      <c r="N136" s="19"/>
    </row>
    <row r="137" spans="1:14" ht="15" customHeight="1" x14ac:dyDescent="0.3">
      <c r="A137" s="1" t="s">
        <v>192</v>
      </c>
      <c r="B137" s="6">
        <v>23</v>
      </c>
      <c r="C137" s="1" t="s">
        <v>6</v>
      </c>
      <c r="D137" s="1" t="s">
        <v>156</v>
      </c>
      <c r="E137" s="12" t="s">
        <v>157</v>
      </c>
      <c r="F137" s="12"/>
      <c r="G137" s="7">
        <v>0</v>
      </c>
      <c r="H137" s="1"/>
      <c r="I137" s="1"/>
      <c r="J137" s="12" t="s">
        <v>192</v>
      </c>
      <c r="K137" s="12"/>
      <c r="L137" s="1" t="s">
        <v>158</v>
      </c>
      <c r="M137" s="12" t="s">
        <v>193</v>
      </c>
      <c r="N137" s="12"/>
    </row>
    <row r="138" spans="1:14" ht="20" customHeight="1" x14ac:dyDescent="0.3">
      <c r="A138" s="20" t="s">
        <v>194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</row>
    <row r="139" spans="1:14" ht="20" customHeight="1" x14ac:dyDescent="0.3">
      <c r="A139" s="2" t="s">
        <v>152</v>
      </c>
      <c r="B139" s="2" t="s">
        <v>195</v>
      </c>
      <c r="C139" s="2" t="s">
        <v>146</v>
      </c>
      <c r="D139" s="2" t="s">
        <v>147</v>
      </c>
      <c r="E139" s="2" t="s">
        <v>196</v>
      </c>
      <c r="F139" s="2" t="s">
        <v>148</v>
      </c>
      <c r="G139" s="2" t="s">
        <v>149</v>
      </c>
      <c r="H139" s="2" t="s">
        <v>145</v>
      </c>
      <c r="I139" s="2" t="s">
        <v>197</v>
      </c>
      <c r="J139" s="2" t="s">
        <v>198</v>
      </c>
      <c r="K139" s="2" t="s">
        <v>199</v>
      </c>
      <c r="L139" s="2" t="s">
        <v>200</v>
      </c>
      <c r="M139" s="18" t="s">
        <v>154</v>
      </c>
      <c r="N139" s="18"/>
    </row>
    <row r="140" spans="1:14" ht="15" customHeight="1" x14ac:dyDescent="0.3">
      <c r="A140" s="3" t="s">
        <v>201</v>
      </c>
      <c r="B140" s="4">
        <v>1</v>
      </c>
      <c r="C140" s="3"/>
      <c r="D140" s="3" t="s">
        <v>202</v>
      </c>
      <c r="E140" s="3"/>
      <c r="F140" s="3"/>
      <c r="G140" s="3"/>
      <c r="H140" s="3"/>
      <c r="I140" s="5">
        <v>0</v>
      </c>
      <c r="J140" s="5">
        <v>0</v>
      </c>
      <c r="K140" s="5">
        <v>100000</v>
      </c>
      <c r="L140" s="5">
        <v>100000</v>
      </c>
      <c r="M140" s="19"/>
      <c r="N140" s="19"/>
    </row>
    <row r="141" spans="1:14" ht="15" customHeight="1" x14ac:dyDescent="0.3">
      <c r="A141" s="1" t="s">
        <v>155</v>
      </c>
      <c r="B141" s="6">
        <v>2</v>
      </c>
      <c r="C141" s="1" t="s">
        <v>6</v>
      </c>
      <c r="D141" s="1" t="s">
        <v>156</v>
      </c>
      <c r="E141" s="1" t="s">
        <v>203</v>
      </c>
      <c r="F141" s="1" t="s">
        <v>204</v>
      </c>
      <c r="G141" s="7">
        <v>100902.93</v>
      </c>
      <c r="H141" s="6">
        <v>2</v>
      </c>
      <c r="I141" s="7">
        <v>-0.33</v>
      </c>
      <c r="J141" s="7">
        <v>0</v>
      </c>
      <c r="K141" s="7">
        <v>0</v>
      </c>
      <c r="L141" s="7">
        <v>99999.67</v>
      </c>
      <c r="M141" s="12" t="s">
        <v>159</v>
      </c>
      <c r="N141" s="12"/>
    </row>
    <row r="142" spans="1:14" ht="15" customHeight="1" x14ac:dyDescent="0.3">
      <c r="A142" s="3" t="s">
        <v>160</v>
      </c>
      <c r="B142" s="4">
        <v>3</v>
      </c>
      <c r="C142" s="3" t="s">
        <v>6</v>
      </c>
      <c r="D142" s="3" t="s">
        <v>161</v>
      </c>
      <c r="E142" s="3" t="s">
        <v>205</v>
      </c>
      <c r="F142" s="3" t="s">
        <v>204</v>
      </c>
      <c r="G142" s="5">
        <v>101896.58</v>
      </c>
      <c r="H142" s="4">
        <v>3</v>
      </c>
      <c r="I142" s="5">
        <v>-0.33</v>
      </c>
      <c r="J142" s="5">
        <v>0</v>
      </c>
      <c r="K142" s="5">
        <v>-9.94</v>
      </c>
      <c r="L142" s="5">
        <v>99989.4</v>
      </c>
      <c r="M142" s="19" t="s">
        <v>162</v>
      </c>
      <c r="N142" s="19"/>
    </row>
    <row r="143" spans="1:14" ht="15" customHeight="1" x14ac:dyDescent="0.3">
      <c r="A143" s="1" t="s">
        <v>163</v>
      </c>
      <c r="B143" s="6">
        <v>4</v>
      </c>
      <c r="C143" s="1" t="s">
        <v>6</v>
      </c>
      <c r="D143" s="1" t="s">
        <v>156</v>
      </c>
      <c r="E143" s="1" t="s">
        <v>203</v>
      </c>
      <c r="F143" s="1" t="s">
        <v>204</v>
      </c>
      <c r="G143" s="7">
        <v>101897.85</v>
      </c>
      <c r="H143" s="6">
        <v>4</v>
      </c>
      <c r="I143" s="7">
        <v>-0.33</v>
      </c>
      <c r="J143" s="7">
        <v>0</v>
      </c>
      <c r="K143" s="7">
        <v>0</v>
      </c>
      <c r="L143" s="7">
        <v>99989.07</v>
      </c>
      <c r="M143" s="12" t="s">
        <v>159</v>
      </c>
      <c r="N143" s="12"/>
    </row>
    <row r="144" spans="1:14" ht="15" customHeight="1" x14ac:dyDescent="0.3">
      <c r="A144" s="3" t="s">
        <v>164</v>
      </c>
      <c r="B144" s="4">
        <v>5</v>
      </c>
      <c r="C144" s="3" t="s">
        <v>6</v>
      </c>
      <c r="D144" s="3" t="s">
        <v>161</v>
      </c>
      <c r="E144" s="3" t="s">
        <v>205</v>
      </c>
      <c r="F144" s="3" t="s">
        <v>204</v>
      </c>
      <c r="G144" s="5">
        <v>102878.6</v>
      </c>
      <c r="H144" s="4">
        <v>5</v>
      </c>
      <c r="I144" s="5">
        <v>-0.33</v>
      </c>
      <c r="J144" s="5">
        <v>0</v>
      </c>
      <c r="K144" s="5">
        <v>-9.81</v>
      </c>
      <c r="L144" s="5">
        <v>99978.93</v>
      </c>
      <c r="M144" s="19" t="s">
        <v>165</v>
      </c>
      <c r="N144" s="19"/>
    </row>
    <row r="145" spans="1:14" ht="15" customHeight="1" x14ac:dyDescent="0.3">
      <c r="A145" s="1" t="s">
        <v>166</v>
      </c>
      <c r="B145" s="6">
        <v>6</v>
      </c>
      <c r="C145" s="1" t="s">
        <v>6</v>
      </c>
      <c r="D145" s="1" t="s">
        <v>156</v>
      </c>
      <c r="E145" s="1" t="s">
        <v>203</v>
      </c>
      <c r="F145" s="1" t="s">
        <v>204</v>
      </c>
      <c r="G145" s="7">
        <v>99082.25</v>
      </c>
      <c r="H145" s="6">
        <v>6</v>
      </c>
      <c r="I145" s="7">
        <v>-0.32</v>
      </c>
      <c r="J145" s="7">
        <v>0</v>
      </c>
      <c r="K145" s="7">
        <v>0</v>
      </c>
      <c r="L145" s="7">
        <v>99978.61</v>
      </c>
      <c r="M145" s="12" t="s">
        <v>159</v>
      </c>
      <c r="N145" s="12"/>
    </row>
    <row r="146" spans="1:14" ht="15" customHeight="1" x14ac:dyDescent="0.3">
      <c r="A146" s="3" t="s">
        <v>167</v>
      </c>
      <c r="B146" s="4">
        <v>7</v>
      </c>
      <c r="C146" s="3" t="s">
        <v>6</v>
      </c>
      <c r="D146" s="3" t="s">
        <v>161</v>
      </c>
      <c r="E146" s="3" t="s">
        <v>205</v>
      </c>
      <c r="F146" s="3" t="s">
        <v>204</v>
      </c>
      <c r="G146" s="5">
        <v>100797.22</v>
      </c>
      <c r="H146" s="4">
        <v>7</v>
      </c>
      <c r="I146" s="5">
        <v>-0.33</v>
      </c>
      <c r="J146" s="5">
        <v>0</v>
      </c>
      <c r="K146" s="5">
        <v>-17.149999999999999</v>
      </c>
      <c r="L146" s="5">
        <v>99961.13</v>
      </c>
      <c r="M146" s="19" t="s">
        <v>168</v>
      </c>
      <c r="N146" s="19"/>
    </row>
    <row r="147" spans="1:14" ht="15" customHeight="1" x14ac:dyDescent="0.3">
      <c r="A147" s="1" t="s">
        <v>169</v>
      </c>
      <c r="B147" s="6">
        <v>8</v>
      </c>
      <c r="C147" s="1" t="s">
        <v>6</v>
      </c>
      <c r="D147" s="1" t="s">
        <v>161</v>
      </c>
      <c r="E147" s="1" t="s">
        <v>203</v>
      </c>
      <c r="F147" s="1" t="s">
        <v>204</v>
      </c>
      <c r="G147" s="7">
        <v>99364.99</v>
      </c>
      <c r="H147" s="6">
        <v>8</v>
      </c>
      <c r="I147" s="7">
        <v>-0.32</v>
      </c>
      <c r="J147" s="7">
        <v>0</v>
      </c>
      <c r="K147" s="7">
        <v>0</v>
      </c>
      <c r="L147" s="7">
        <v>99960.81</v>
      </c>
      <c r="M147" s="12" t="s">
        <v>170</v>
      </c>
      <c r="N147" s="12"/>
    </row>
    <row r="148" spans="1:14" ht="15" customHeight="1" x14ac:dyDescent="0.3">
      <c r="A148" s="3" t="s">
        <v>171</v>
      </c>
      <c r="B148" s="4">
        <v>9</v>
      </c>
      <c r="C148" s="3" t="s">
        <v>6</v>
      </c>
      <c r="D148" s="3" t="s">
        <v>156</v>
      </c>
      <c r="E148" s="3" t="s">
        <v>205</v>
      </c>
      <c r="F148" s="3" t="s">
        <v>204</v>
      </c>
      <c r="G148" s="5">
        <v>98831.91</v>
      </c>
      <c r="H148" s="4">
        <v>9</v>
      </c>
      <c r="I148" s="5">
        <v>-0.32</v>
      </c>
      <c r="J148" s="5">
        <v>0</v>
      </c>
      <c r="K148" s="5">
        <v>-5.33</v>
      </c>
      <c r="L148" s="5">
        <v>99955.16</v>
      </c>
      <c r="M148" s="19" t="s">
        <v>172</v>
      </c>
      <c r="N148" s="19"/>
    </row>
    <row r="149" spans="1:14" ht="15" customHeight="1" x14ac:dyDescent="0.3">
      <c r="A149" s="1" t="s">
        <v>173</v>
      </c>
      <c r="B149" s="6">
        <v>10</v>
      </c>
      <c r="C149" s="1" t="s">
        <v>6</v>
      </c>
      <c r="D149" s="1" t="s">
        <v>161</v>
      </c>
      <c r="E149" s="1" t="s">
        <v>203</v>
      </c>
      <c r="F149" s="1" t="s">
        <v>204</v>
      </c>
      <c r="G149" s="7">
        <v>87377.600000000006</v>
      </c>
      <c r="H149" s="6">
        <v>10</v>
      </c>
      <c r="I149" s="7">
        <v>-0.28000000000000003</v>
      </c>
      <c r="J149" s="7">
        <v>0</v>
      </c>
      <c r="K149" s="7">
        <v>0</v>
      </c>
      <c r="L149" s="7">
        <v>99954.880000000005</v>
      </c>
      <c r="M149" s="12" t="s">
        <v>170</v>
      </c>
      <c r="N149" s="12"/>
    </row>
    <row r="150" spans="1:14" ht="15" customHeight="1" x14ac:dyDescent="0.3">
      <c r="A150" s="3" t="s">
        <v>174</v>
      </c>
      <c r="B150" s="4">
        <v>11</v>
      </c>
      <c r="C150" s="3" t="s">
        <v>6</v>
      </c>
      <c r="D150" s="3" t="s">
        <v>156</v>
      </c>
      <c r="E150" s="3" t="s">
        <v>205</v>
      </c>
      <c r="F150" s="3" t="s">
        <v>204</v>
      </c>
      <c r="G150" s="5">
        <v>85935.03</v>
      </c>
      <c r="H150" s="4">
        <v>11</v>
      </c>
      <c r="I150" s="5">
        <v>-0.28000000000000003</v>
      </c>
      <c r="J150" s="5">
        <v>0</v>
      </c>
      <c r="K150" s="5">
        <v>-14.43</v>
      </c>
      <c r="L150" s="5">
        <v>99940.17</v>
      </c>
      <c r="M150" s="19" t="s">
        <v>175</v>
      </c>
      <c r="N150" s="19"/>
    </row>
    <row r="151" spans="1:14" ht="15" customHeight="1" x14ac:dyDescent="0.3">
      <c r="A151" s="1" t="s">
        <v>176</v>
      </c>
      <c r="B151" s="6">
        <v>12</v>
      </c>
      <c r="C151" s="1" t="s">
        <v>6</v>
      </c>
      <c r="D151" s="1" t="s">
        <v>156</v>
      </c>
      <c r="E151" s="1" t="s">
        <v>203</v>
      </c>
      <c r="F151" s="1" t="s">
        <v>204</v>
      </c>
      <c r="G151" s="7">
        <v>87870.25</v>
      </c>
      <c r="H151" s="6">
        <v>12</v>
      </c>
      <c r="I151" s="7">
        <v>-0.28999999999999998</v>
      </c>
      <c r="J151" s="7">
        <v>0</v>
      </c>
      <c r="K151" s="7">
        <v>0</v>
      </c>
      <c r="L151" s="7">
        <v>99939.88</v>
      </c>
      <c r="M151" s="12" t="s">
        <v>159</v>
      </c>
      <c r="N151" s="12"/>
    </row>
    <row r="152" spans="1:14" ht="15" customHeight="1" x14ac:dyDescent="0.3">
      <c r="A152" s="3" t="s">
        <v>177</v>
      </c>
      <c r="B152" s="4">
        <v>13</v>
      </c>
      <c r="C152" s="3" t="s">
        <v>6</v>
      </c>
      <c r="D152" s="3" t="s">
        <v>161</v>
      </c>
      <c r="E152" s="3" t="s">
        <v>205</v>
      </c>
      <c r="F152" s="3" t="s">
        <v>204</v>
      </c>
      <c r="G152" s="5">
        <v>89349.66</v>
      </c>
      <c r="H152" s="4">
        <v>13</v>
      </c>
      <c r="I152" s="5">
        <v>-0.28999999999999998</v>
      </c>
      <c r="J152" s="5">
        <v>0</v>
      </c>
      <c r="K152" s="5">
        <v>-14.79</v>
      </c>
      <c r="L152" s="5">
        <v>99924.800000000003</v>
      </c>
      <c r="M152" s="19" t="s">
        <v>178</v>
      </c>
      <c r="N152" s="19"/>
    </row>
    <row r="153" spans="1:14" ht="15" customHeight="1" x14ac:dyDescent="0.3">
      <c r="A153" s="1" t="s">
        <v>179</v>
      </c>
      <c r="B153" s="6">
        <v>14</v>
      </c>
      <c r="C153" s="1" t="s">
        <v>6</v>
      </c>
      <c r="D153" s="1" t="s">
        <v>161</v>
      </c>
      <c r="E153" s="1" t="s">
        <v>203</v>
      </c>
      <c r="F153" s="1" t="s">
        <v>204</v>
      </c>
      <c r="G153" s="7">
        <v>79385.08</v>
      </c>
      <c r="H153" s="6">
        <v>14</v>
      </c>
      <c r="I153" s="7">
        <v>-0.26</v>
      </c>
      <c r="J153" s="7">
        <v>0</v>
      </c>
      <c r="K153" s="7">
        <v>0</v>
      </c>
      <c r="L153" s="7">
        <v>99924.54</v>
      </c>
      <c r="M153" s="12" t="s">
        <v>170</v>
      </c>
      <c r="N153" s="12"/>
    </row>
    <row r="154" spans="1:14" ht="15" customHeight="1" x14ac:dyDescent="0.3">
      <c r="A154" s="3" t="s">
        <v>180</v>
      </c>
      <c r="B154" s="4">
        <v>15</v>
      </c>
      <c r="C154" s="3" t="s">
        <v>6</v>
      </c>
      <c r="D154" s="3" t="s">
        <v>156</v>
      </c>
      <c r="E154" s="3" t="s">
        <v>205</v>
      </c>
      <c r="F154" s="3" t="s">
        <v>204</v>
      </c>
      <c r="G154" s="5">
        <v>81628.5</v>
      </c>
      <c r="H154" s="4">
        <v>15</v>
      </c>
      <c r="I154" s="5">
        <v>-0.27</v>
      </c>
      <c r="J154" s="5">
        <v>0</v>
      </c>
      <c r="K154" s="5">
        <v>22.43</v>
      </c>
      <c r="L154" s="5">
        <v>99946.7</v>
      </c>
      <c r="M154" s="19" t="s">
        <v>181</v>
      </c>
      <c r="N154" s="19"/>
    </row>
    <row r="155" spans="1:14" ht="15" customHeight="1" x14ac:dyDescent="0.3">
      <c r="A155" s="1" t="s">
        <v>182</v>
      </c>
      <c r="B155" s="6">
        <v>16</v>
      </c>
      <c r="C155" s="1" t="s">
        <v>6</v>
      </c>
      <c r="D155" s="1" t="s">
        <v>156</v>
      </c>
      <c r="E155" s="1" t="s">
        <v>203</v>
      </c>
      <c r="F155" s="1" t="s">
        <v>204</v>
      </c>
      <c r="G155" s="7">
        <v>82804.53</v>
      </c>
      <c r="H155" s="6">
        <v>16</v>
      </c>
      <c r="I155" s="7">
        <v>-0.27</v>
      </c>
      <c r="J155" s="7">
        <v>0</v>
      </c>
      <c r="K155" s="7">
        <v>0</v>
      </c>
      <c r="L155" s="7">
        <v>99946.43</v>
      </c>
      <c r="M155" s="12" t="s">
        <v>159</v>
      </c>
      <c r="N155" s="12"/>
    </row>
    <row r="156" spans="1:14" ht="15" customHeight="1" x14ac:dyDescent="0.3">
      <c r="A156" s="3" t="s">
        <v>183</v>
      </c>
      <c r="B156" s="4">
        <v>17</v>
      </c>
      <c r="C156" s="3" t="s">
        <v>6</v>
      </c>
      <c r="D156" s="3" t="s">
        <v>161</v>
      </c>
      <c r="E156" s="3" t="s">
        <v>205</v>
      </c>
      <c r="F156" s="3" t="s">
        <v>204</v>
      </c>
      <c r="G156" s="5">
        <v>83205.38</v>
      </c>
      <c r="H156" s="4">
        <v>17</v>
      </c>
      <c r="I156" s="5">
        <v>-0.27</v>
      </c>
      <c r="J156" s="5">
        <v>0</v>
      </c>
      <c r="K156" s="5">
        <v>-4.01</v>
      </c>
      <c r="L156" s="5">
        <v>99942.15</v>
      </c>
      <c r="M156" s="19" t="s">
        <v>184</v>
      </c>
      <c r="N156" s="19"/>
    </row>
    <row r="157" spans="1:14" ht="15" customHeight="1" x14ac:dyDescent="0.3">
      <c r="A157" s="1" t="s">
        <v>185</v>
      </c>
      <c r="B157" s="6">
        <v>18</v>
      </c>
      <c r="C157" s="1" t="s">
        <v>6</v>
      </c>
      <c r="D157" s="1" t="s">
        <v>161</v>
      </c>
      <c r="E157" s="1" t="s">
        <v>203</v>
      </c>
      <c r="F157" s="1" t="s">
        <v>204</v>
      </c>
      <c r="G157" s="7">
        <v>83830.59</v>
      </c>
      <c r="H157" s="6">
        <v>18</v>
      </c>
      <c r="I157" s="7">
        <v>-0.27</v>
      </c>
      <c r="J157" s="7">
        <v>0</v>
      </c>
      <c r="K157" s="7">
        <v>0</v>
      </c>
      <c r="L157" s="7">
        <v>99941.88</v>
      </c>
      <c r="M157" s="12" t="s">
        <v>170</v>
      </c>
      <c r="N157" s="12"/>
    </row>
    <row r="158" spans="1:14" ht="15" customHeight="1" x14ac:dyDescent="0.3">
      <c r="A158" s="3" t="s">
        <v>186</v>
      </c>
      <c r="B158" s="4">
        <v>19</v>
      </c>
      <c r="C158" s="3" t="s">
        <v>6</v>
      </c>
      <c r="D158" s="3" t="s">
        <v>156</v>
      </c>
      <c r="E158" s="3" t="s">
        <v>205</v>
      </c>
      <c r="F158" s="3" t="s">
        <v>204</v>
      </c>
      <c r="G158" s="5">
        <v>84184.81</v>
      </c>
      <c r="H158" s="4">
        <v>19</v>
      </c>
      <c r="I158" s="5">
        <v>-0.27</v>
      </c>
      <c r="J158" s="5">
        <v>0</v>
      </c>
      <c r="K158" s="5">
        <v>3.54</v>
      </c>
      <c r="L158" s="5">
        <v>99945.15</v>
      </c>
      <c r="M158" s="19" t="s">
        <v>187</v>
      </c>
      <c r="N158" s="19"/>
    </row>
    <row r="159" spans="1:14" ht="15" customHeight="1" x14ac:dyDescent="0.3">
      <c r="A159" s="1" t="s">
        <v>188</v>
      </c>
      <c r="B159" s="6">
        <v>20</v>
      </c>
      <c r="C159" s="1" t="s">
        <v>6</v>
      </c>
      <c r="D159" s="1" t="s">
        <v>156</v>
      </c>
      <c r="E159" s="1" t="s">
        <v>203</v>
      </c>
      <c r="F159" s="1" t="s">
        <v>204</v>
      </c>
      <c r="G159" s="7">
        <v>83025.59</v>
      </c>
      <c r="H159" s="6">
        <v>20</v>
      </c>
      <c r="I159" s="7">
        <v>-0.27</v>
      </c>
      <c r="J159" s="7">
        <v>0</v>
      </c>
      <c r="K159" s="7">
        <v>0</v>
      </c>
      <c r="L159" s="7">
        <v>99944.88</v>
      </c>
      <c r="M159" s="12" t="s">
        <v>159</v>
      </c>
      <c r="N159" s="12"/>
    </row>
    <row r="160" spans="1:14" ht="15" customHeight="1" x14ac:dyDescent="0.3">
      <c r="A160" s="3" t="s">
        <v>189</v>
      </c>
      <c r="B160" s="4">
        <v>21</v>
      </c>
      <c r="C160" s="3" t="s">
        <v>6</v>
      </c>
      <c r="D160" s="3" t="s">
        <v>161</v>
      </c>
      <c r="E160" s="3" t="s">
        <v>205</v>
      </c>
      <c r="F160" s="3" t="s">
        <v>204</v>
      </c>
      <c r="G160" s="5">
        <v>83415.83</v>
      </c>
      <c r="H160" s="4">
        <v>21</v>
      </c>
      <c r="I160" s="5">
        <v>-0.27</v>
      </c>
      <c r="J160" s="5">
        <v>0</v>
      </c>
      <c r="K160" s="5">
        <v>-3.9</v>
      </c>
      <c r="L160" s="5">
        <v>99940.71</v>
      </c>
      <c r="M160" s="19" t="s">
        <v>190</v>
      </c>
      <c r="N160" s="19"/>
    </row>
    <row r="161" spans="1:14" ht="15" customHeight="1" x14ac:dyDescent="0.3">
      <c r="A161" s="1" t="s">
        <v>191</v>
      </c>
      <c r="B161" s="6">
        <v>22</v>
      </c>
      <c r="C161" s="1" t="s">
        <v>6</v>
      </c>
      <c r="D161" s="1" t="s">
        <v>161</v>
      </c>
      <c r="E161" s="1" t="s">
        <v>203</v>
      </c>
      <c r="F161" s="1" t="s">
        <v>204</v>
      </c>
      <c r="G161" s="7">
        <v>83747.55</v>
      </c>
      <c r="H161" s="6">
        <v>22</v>
      </c>
      <c r="I161" s="7">
        <v>-0.27</v>
      </c>
      <c r="J161" s="7">
        <v>0</v>
      </c>
      <c r="K161" s="7">
        <v>0</v>
      </c>
      <c r="L161" s="7">
        <v>99940.44</v>
      </c>
      <c r="M161" s="12" t="s">
        <v>170</v>
      </c>
      <c r="N161" s="12"/>
    </row>
    <row r="162" spans="1:14" ht="15" customHeight="1" x14ac:dyDescent="0.3">
      <c r="A162" s="3" t="s">
        <v>192</v>
      </c>
      <c r="B162" s="4">
        <v>23</v>
      </c>
      <c r="C162" s="3" t="s">
        <v>6</v>
      </c>
      <c r="D162" s="3" t="s">
        <v>156</v>
      </c>
      <c r="E162" s="3" t="s">
        <v>205</v>
      </c>
      <c r="F162" s="3" t="s">
        <v>204</v>
      </c>
      <c r="G162" s="5">
        <v>85033.57</v>
      </c>
      <c r="H162" s="4">
        <v>23</v>
      </c>
      <c r="I162" s="5">
        <v>-0.28000000000000003</v>
      </c>
      <c r="J162" s="5">
        <v>0</v>
      </c>
      <c r="K162" s="5">
        <v>12.86</v>
      </c>
      <c r="L162" s="5">
        <v>99953.02</v>
      </c>
      <c r="M162" s="19" t="s">
        <v>193</v>
      </c>
      <c r="N162" s="19"/>
    </row>
    <row r="163" spans="1:14" ht="20" customHeight="1" x14ac:dyDescent="0.3">
      <c r="A163" s="21"/>
      <c r="B163" s="21"/>
      <c r="C163" s="21"/>
      <c r="D163" s="21"/>
      <c r="E163" s="21"/>
      <c r="F163" s="21"/>
      <c r="G163" s="21"/>
      <c r="H163" s="21"/>
      <c r="I163" s="8">
        <f>SUM(Sheet1!I140:I162)</f>
        <v>-6.4499999999999966</v>
      </c>
      <c r="J163" s="8">
        <f>SUM(Sheet1!J140:J162)</f>
        <v>0</v>
      </c>
      <c r="K163" s="8">
        <v>-40.53</v>
      </c>
      <c r="L163" s="8">
        <v>99953.02</v>
      </c>
      <c r="M163" s="21"/>
      <c r="N163" s="21"/>
    </row>
  </sheetData>
  <mergeCells count="267">
    <mergeCell ref="M156:N156"/>
    <mergeCell ref="M157:N157"/>
    <mergeCell ref="M158:N158"/>
    <mergeCell ref="M159:N159"/>
    <mergeCell ref="M160:N160"/>
    <mergeCell ref="M161:N161"/>
    <mergeCell ref="M162:N162"/>
    <mergeCell ref="A163:H163"/>
    <mergeCell ref="M163:N163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A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91:G91"/>
    <mergeCell ref="H91"/>
    <mergeCell ref="I91:K91"/>
    <mergeCell ref="L91:N91"/>
    <mergeCell ref="A114:N114"/>
    <mergeCell ref="E115:F115"/>
    <mergeCell ref="J115:K115"/>
    <mergeCell ref="M115:N115"/>
    <mergeCell ref="E116:F116"/>
    <mergeCell ref="J116:K116"/>
    <mergeCell ref="M116:N116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86:C86"/>
    <mergeCell ref="D86"/>
    <mergeCell ref="E86:G86"/>
    <mergeCell ref="H86"/>
    <mergeCell ref="I86:K86"/>
    <mergeCell ref="L86:N86"/>
    <mergeCell ref="E87:G87"/>
    <mergeCell ref="H87"/>
    <mergeCell ref="I87:K87"/>
    <mergeCell ref="L87:N87"/>
    <mergeCell ref="L82:N82"/>
    <mergeCell ref="A83:C83"/>
    <mergeCell ref="D83"/>
    <mergeCell ref="E83:G83"/>
    <mergeCell ref="H83"/>
    <mergeCell ref="I83:K83"/>
    <mergeCell ref="L83:N83"/>
    <mergeCell ref="A85:C85"/>
    <mergeCell ref="D85"/>
    <mergeCell ref="E85:G85"/>
    <mergeCell ref="H85"/>
    <mergeCell ref="I85:K85"/>
    <mergeCell ref="L85:N85"/>
    <mergeCell ref="A80:C80"/>
    <mergeCell ref="D80"/>
    <mergeCell ref="E80:G80"/>
    <mergeCell ref="H80"/>
    <mergeCell ref="A82:C82"/>
    <mergeCell ref="D82"/>
    <mergeCell ref="E82:G82"/>
    <mergeCell ref="H82"/>
    <mergeCell ref="I82:K82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A75:C75"/>
    <mergeCell ref="D75"/>
    <mergeCell ref="E75:G75"/>
    <mergeCell ref="H75"/>
    <mergeCell ref="I75:K75"/>
    <mergeCell ref="L75:N75"/>
    <mergeCell ref="A77:C77"/>
    <mergeCell ref="D77"/>
    <mergeCell ref="E77:G77"/>
    <mergeCell ref="H77"/>
    <mergeCell ref="I77:K77"/>
    <mergeCell ref="L77:N77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8:C68"/>
    <mergeCell ref="D68:N68"/>
    <mergeCell ref="A69:C69"/>
    <mergeCell ref="D69:N69"/>
    <mergeCell ref="A70:N70"/>
    <mergeCell ref="A71:C71"/>
    <mergeCell ref="D71"/>
    <mergeCell ref="A72:C72"/>
    <mergeCell ref="D72"/>
    <mergeCell ref="E72:G72"/>
    <mergeCell ref="H72"/>
    <mergeCell ref="I72:K72"/>
    <mergeCell ref="L72:N72"/>
    <mergeCell ref="D60:N60"/>
    <mergeCell ref="D61:N61"/>
    <mergeCell ref="D62:N62"/>
    <mergeCell ref="D63:N63"/>
    <mergeCell ref="D64:N64"/>
    <mergeCell ref="D65:N65"/>
    <mergeCell ref="A66:C66"/>
    <mergeCell ref="D66:N66"/>
    <mergeCell ref="A67:C67"/>
    <mergeCell ref="D67:N67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1511808937:$25k FTMO Free Trial Swing</dc:subject>
  <dc:creator>FTMO Global Markets Ltd</dc:creator>
  <dc:description>Trade report contains current client positions and exposure</dc:description>
  <cp:lastModifiedBy>Jim Jardine</cp:lastModifiedBy>
  <dcterms:created xsi:type="dcterms:W3CDTF">2025-10-30T01:37:00Z</dcterms:created>
  <dcterms:modified xsi:type="dcterms:W3CDTF">2025-10-30T05:37:48Z</dcterms:modified>
  <cp:category>Reports</cp:category>
</cp:coreProperties>
</file>